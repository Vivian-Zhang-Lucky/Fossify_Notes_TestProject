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drawings/charts/chart3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f37332ce2874c3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测试总结" sheetId="1" r:id="Reaaba796e2904eaa"/>
    <x:sheet xmlns:r="http://schemas.openxmlformats.org/officeDocument/2006/relationships" name="冷启动" sheetId="2" r:id="Rf1c97addbe5645b1"/>
    <x:sheet xmlns:r="http://schemas.openxmlformats.org/officeDocument/2006/relationships" name="内存" sheetId="3" r:id="R52df79fad8bf42b1"/>
    <x:sheet xmlns:r="http://schemas.openxmlformats.org/officeDocument/2006/relationships" name="CPU与稳定性" sheetId="4" r:id="Ree8942c952d1475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"/>
  </x:numFmts>
  <x:fonts count="7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7365D"/>
      <x:name val="Carlito"/>
    </x:font>
    <x:font>
      <x:b/>
      <x:sz val="11"/>
      <x:color rgb="FFFFFFFF"/>
      <x:name val="Carlito"/>
    </x:font>
    <x:font>
      <x:sz val="11"/>
      <x:color rgb="FF7F6000"/>
      <x:name val="Carlito"/>
    </x:font>
    <x:font>
      <x:b/>
      <x:sz val="15"/>
      <x:color rgb="FFFFFFFF"/>
      <x:name val="Carlito"/>
    </x:font>
    <x:font>
      <x:b/>
      <x:sz val="11"/>
      <x:color rgb="FF385723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</x:fills>
  <x:borders count="18">
    <x:border/>
    <x:border/>
    <x:border>
      <x:left style="thin">
        <x:color rgb="FFD9E1F2"/>
      </x:left>
      <x:top style="thin">
        <x:color rgb="FFD9E1F2"/>
      </x:top>
    </x:border>
    <x:border>
      <x:right style="thin">
        <x:color rgb="FFD9E1F2"/>
      </x:right>
      <x:top style="thin">
        <x:color rgb="FFD9E1F2"/>
      </x:top>
    </x:border>
    <x:border>
      <x:left style="thin">
        <x:color rgb="FFD9E1F2"/>
      </x:left>
    </x:border>
    <x:border>
      <x:right style="thin">
        <x:color rgb="FFD9E1F2"/>
      </x:right>
    </x:border>
    <x:border>
      <x:left style="thin">
        <x:color rgb="FFD9E1F2"/>
      </x:left>
      <x:bottom style="thin">
        <x:color rgb="FFD9E1F2"/>
      </x:bottom>
    </x:border>
    <x:border>
      <x:right style="thin">
        <x:color rgb="FFD9E1F2"/>
      </x:right>
      <x:bottom style="thin">
        <x:color rgb="FFD9E1F2"/>
      </x:bottom>
    </x:border>
    <x:border>
      <x:left style="thin">
        <x:color rgb="FFD9E1F2"/>
      </x:left>
      <x:top style="thin">
        <x:color rgb="FFD9E1F2"/>
      </x:top>
    </x:border>
    <x:border>
      <x:right style="thin">
        <x:color rgb="FFD9E1F2"/>
      </x:right>
      <x:top style="thin">
        <x:color rgb="FFD9E1F2"/>
      </x:top>
    </x:border>
    <x:border>
      <x:left style="thin">
        <x:color rgb="FFD9E1F2"/>
      </x:left>
    </x:border>
    <x:border>
      <x:right style="thin">
        <x:color rgb="FFD9E1F2"/>
      </x:right>
    </x:border>
    <x:border>
      <x:left style="thin">
        <x:color rgb="FFD9E1F2"/>
      </x:left>
      <x:bottom style="thin">
        <x:color rgb="FFD9E1F2"/>
      </x:bottom>
    </x:border>
    <x:border>
      <x:right style="thin">
        <x:color rgb="FFD9E1F2"/>
      </x:right>
      <x:bottom style="thin">
        <x:color rgb="FFD9E1F2"/>
      </x:bottom>
    </x:border>
    <x:border>
      <x:top style="thin">
        <x:color rgb="FFD9E1F2"/>
      </x:top>
    </x:border>
    <x:border>
      <x:bottom style="thin">
        <x:color rgb="FFD9E1F2"/>
      </x:bottom>
    </x:border>
    <x:border>
      <x:top style="thin">
        <x:color rgb="FFD9E1F2"/>
      </x:top>
    </x:border>
    <x:border>
      <x:bottom style="thin">
        <x:color rgb="FFD9E1F2"/>
      </x:bottom>
    </x:border>
  </x:borders>
  <x:cellStyleXfs count="1">
    <x:xf numFmtId="0" fontId="0" fillId="0" borderId="0"/>
  </x:cellStyleXfs>
  <x:cellXfs count="9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2" fillId="3" borderId="8" xfId="0" applyNumberFormat="1" applyFont="1" applyFill="1" applyBorder="1"/>
    <x:xf numFmtId="0" fontId="2" fillId="3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3" fillId="4" borderId="2" xfId="0" applyNumberFormat="1" applyFont="1" applyFill="1" applyBorder="1" applyAlignment="1">
      <x:alignment horizontal="center" vertical="center"/>
    </x:xf>
    <x:xf numFmtId="0" fontId="3" fillId="4" borderId="14" xfId="0" applyNumberFormat="1" applyFont="1" applyFill="1" applyBorder="1" applyAlignment="1">
      <x:alignment horizontal="center" vertical="center"/>
    </x:xf>
    <x:xf numFmtId="0" fontId="3" fillId="4" borderId="3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/>
    <x:xf numFmtId="0" fontId="0" fillId="0" borderId="15" xfId="0" applyNumberFormat="1" applyFont="1" applyFill="1" applyBorder="1"/>
    <x:xf numFmtId="0" fontId="3" fillId="4" borderId="8" xfId="0" applyNumberFormat="1" applyFont="1" applyFill="1" applyBorder="1" applyAlignment="1">
      <x:alignment horizontal="center" vertical="center"/>
    </x:xf>
    <x:xf numFmtId="0" fontId="3" fillId="4" borderId="16" xfId="0" applyNumberFormat="1" applyFont="1" applyFill="1" applyBorder="1" applyAlignment="1">
      <x:alignment horizontal="center" vertical="center"/>
    </x:xf>
    <x:xf numFmtId="0" fontId="3" fillId="4" borderId="9" xfId="0" applyNumberFormat="1" applyFont="1" applyFill="1" applyBorder="1" applyAlignment="1">
      <x:alignment horizontal="center" vertical="center"/>
    </x:xf>
    <x:xf numFmtId="0" fontId="0" fillId="0" borderId="17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vertical="center" wrapText="1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horizontal="center"/>
    </x:xf>
    <x:xf numFmtId="0" fontId="5" fillId="2" borderId="1" xfId="0" applyNumberFormat="1" applyFont="1" applyFill="1" applyBorder="1"/>
    <x:xf numFmtId="0" fontId="5" fillId="2" borderId="1" xfId="0" applyNumberFormat="1" applyFont="1" applyFill="1" applyBorder="1" applyAlignment="1">
      <x:alignment horizontal="center"/>
    </x:xf>
    <x:xf numFmtId="0" fontId="3" fillId="4" borderId="2" xfId="0" applyNumberFormat="1" applyFont="1" applyFill="1" applyBorder="1" applyAlignment="1">
      <x:alignment horizontal="center"/>
    </x:xf>
    <x:xf numFmtId="0" fontId="3" fillId="4" borderId="14" xfId="0" applyNumberFormat="1" applyFont="1" applyFill="1" applyBorder="1" applyAlignment="1">
      <x:alignment horizontal="center"/>
    </x:xf>
    <x:xf numFmtId="0" fontId="3" fillId="4" borderId="3" xfId="0" applyNumberFormat="1" applyFont="1" applyFill="1" applyBorder="1" applyAlignment="1">
      <x:alignment horizontal="center"/>
    </x:xf>
    <x:xf numFmtId="0" fontId="3" fillId="4" borderId="4" xfId="0" applyNumberFormat="1" applyFont="1" applyFill="1" applyBorder="1" applyAlignment="1">
      <x:alignment horizontal="center"/>
    </x:xf>
    <x:xf numFmtId="0" fontId="3" fillId="4" borderId="5" xfId="0" applyNumberFormat="1" applyFont="1" applyFill="1" applyBorder="1" applyAlignment="1">
      <x:alignment horizontal="center"/>
    </x:xf>
    <x:xf numFmtId="0" fontId="3" fillId="4" borderId="8" xfId="0" applyNumberFormat="1" applyFont="1" applyFill="1" applyBorder="1" applyAlignment="1">
      <x:alignment horizontal="center"/>
    </x:xf>
    <x:xf numFmtId="0" fontId="3" fillId="4" borderId="16" xfId="0" applyNumberFormat="1" applyFont="1" applyFill="1" applyBorder="1" applyAlignment="1">
      <x:alignment horizontal="center"/>
    </x:xf>
    <x:xf numFmtId="0" fontId="3" fillId="4" borderId="9" xfId="0" applyNumberFormat="1" applyFont="1" applyFill="1" applyBorder="1" applyAlignment="1">
      <x:alignment horizontal="center"/>
    </x:xf>
    <x:xf numFmtId="0" fontId="3" fillId="4" borderId="10" xfId="0" applyNumberFormat="1" applyFont="1" applyFill="1" applyBorder="1" applyAlignment="1">
      <x:alignment horizontal="center"/>
    </x:xf>
    <x:xf numFmtId="0" fontId="3" fillId="4" borderId="1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0" fillId="0" borderId="15" xfId="0" applyNumberFormat="1" applyFont="1" applyFill="1" applyBorder="1"/>
    <x:xf numFmtId="200" fontId="0" fillId="0" borderId="1" xfId="0" applyNumberFormat="1" applyFont="1" applyFill="1" applyBorder="1"/>
    <x:xf numFmtId="200" fontId="0" fillId="0" borderId="17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horizontal="center" wrapText="1"/>
    </x:xf>
    <x:xf numFmtId="0" fontId="3" fillId="4" borderId="14" xfId="0" applyNumberFormat="1" applyFont="1" applyFill="1" applyBorder="1" applyAlignment="1">
      <x:alignment horizontal="center" wrapText="1"/>
    </x:xf>
    <x:xf numFmtId="0" fontId="3" fillId="4" borderId="3" xfId="0" applyNumberFormat="1" applyFont="1" applyFill="1" applyBorder="1" applyAlignment="1">
      <x:alignment horizontal="center" wrapText="1"/>
    </x:xf>
    <x:xf numFmtId="0" fontId="3" fillId="4" borderId="8" xfId="0" applyNumberFormat="1" applyFont="1" applyFill="1" applyBorder="1" applyAlignment="1">
      <x:alignment horizontal="center" wrapText="1"/>
    </x:xf>
    <x:xf numFmtId="0" fontId="3" fillId="4" borderId="16" xfId="0" applyNumberFormat="1" applyFont="1" applyFill="1" applyBorder="1" applyAlignment="1">
      <x:alignment horizontal="center" wrapText="1"/>
    </x:xf>
    <x:xf numFmtId="0" fontId="3" fillId="4" borderId="9" xfId="0" applyNumberFormat="1" applyFont="1" applyFill="1" applyBorder="1" applyAlignment="1">
      <x:alignment horizontal="center" wrapText="1"/>
    </x:xf>
    <x:xf numFmtId="200" fontId="0" fillId="0" borderId="5" xfId="0" applyNumberFormat="1" applyFont="1" applyFill="1" applyBorder="1"/>
    <x:xf numFmtId="0" fontId="3" fillId="4" borderId="4" xfId="0" applyNumberFormat="1" applyFont="1" applyFill="1" applyBorder="1" applyAlignment="1">
      <x:alignment horizontal="center" wrapText="1"/>
    </x:xf>
    <x:xf numFmtId="0" fontId="3" fillId="4" borderId="5" xfId="0" applyNumberFormat="1" applyFont="1" applyFill="1" applyBorder="1" applyAlignment="1">
      <x:alignment horizontal="center" wrapText="1"/>
    </x:xf>
    <x:xf numFmtId="200" fontId="0" fillId="0" borderId="11" xfId="0" applyNumberFormat="1" applyFont="1" applyFill="1" applyBorder="1"/>
    <x:xf numFmtId="0" fontId="3" fillId="4" borderId="10" xfId="0" applyNumberFormat="1" applyFont="1" applyFill="1" applyBorder="1" applyAlignment="1">
      <x:alignment horizontal="center" wrapText="1"/>
    </x:xf>
    <x:xf numFmtId="0" fontId="3" fillId="4" borderId="11" xfId="0" applyNumberFormat="1" applyFont="1" applyFill="1" applyBorder="1" applyAlignment="1">
      <x:alignment horizontal="center" wrapText="1"/>
    </x:xf>
    <x:xf numFmtId="0" fontId="0" fillId="6" borderId="7" xfId="0" applyNumberFormat="1" applyFont="1" applyFill="1" applyBorder="1" applyAlignment="1">
      <x:alignment wrapText="1"/>
    </x:xf>
    <x:xf numFmtId="0" fontId="6" fillId="6" borderId="7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b/>
        <x:color rgb="FF385723"/>
      </x:font>
      <x:fill>
        <x:patternFill patternType="solid"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07a0b5abbed4436" /><Relationship Type="http://schemas.openxmlformats.org/officeDocument/2006/relationships/theme" Target="/xl/theme/theme1.xml" Id="R8070d57dd8334411" /><Relationship Type="http://schemas.openxmlformats.org/officeDocument/2006/relationships/sharedStrings" Target="/xl/sharedStrings.xml" Id="R3cdb69e6f8f04a9f" /><Relationship Type="http://schemas.openxmlformats.org/officeDocument/2006/relationships/worksheet" Target="/xl/worksheets/sheet1.xml" Id="Reaaba796e2904eaa" /><Relationship Type="http://schemas.openxmlformats.org/officeDocument/2006/relationships/worksheet" Target="/xl/worksheets/sheet2.xml" Id="Rf1c97addbe5645b1" /><Relationship Type="http://schemas.openxmlformats.org/officeDocument/2006/relationships/worksheet" Target="/xl/worksheets/sheet3.xml" Id="R52df79fad8bf42b1" /><Relationship Type="http://schemas.openxmlformats.org/officeDocument/2006/relationships/worksheet" Target="/xl/worksheets/sheet4.xml" Id="Ree8942c952d1475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1e6e1f7902b54e4a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6ed51d059b38475a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efab706931a648f9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5 次冷启动耗时</a:t>
            </a:r>
          </a:p>
        </c:rich>
      </c:tx>
    </c:title>
    <c:plotArea>
      <c:lineChart>
        <c:grouping val="standard"/>
        <c:ser>
          <c:idx val="0"/>
          <c:order val="0"/>
          <c:tx>
            <c:v>LaunchState</c:v>
          </c:tx>
          <c:marker>
            <c:symbol val="none"/>
          </c:marker>
          <c:cat>
            <c:strRef>
              <c:f>'冷启动'!$A$4:$A$8</c:f>
              <c:strCache>
                <c:ptCount val="0"/>
              </c:strCache>
            </c:strRef>
          </c:cat>
          <c:val>
            <c:numRef>
              <c:f>'冷启动'!$B$4:$B$8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TotalTime(ms)</c:v>
          </c:tx>
          <c:marker>
            <c:symbol val="none"/>
          </c:marker>
          <c:cat>
            <c:strRef>
              <c:f>'冷启动'!$A$4:$A$8</c:f>
              <c:strCache>
                <c:ptCount val="0"/>
              </c:strCache>
            </c:strRef>
          </c:cat>
          <c:val>
            <c:numRef>
              <c:f>'冷启动'!$C$4:$C$8</c:f>
              <c:numCache>
                <c:formatCode>General</c:formatCode>
                <c:ptCount val="0"/>
              </c:numCache>
            </c:numRef>
          </c:val>
        </c:ser>
        <c:ser>
          <c:idx val="2"/>
          <c:order val="2"/>
          <c:tx>
            <c:v>WaitTime(ms)</c:v>
          </c:tx>
          <c:marker>
            <c:symbol val="none"/>
          </c:marker>
          <c:cat>
            <c:strRef>
              <c:f>'冷启动'!$A$4:$A$8</c:f>
              <c:strCache>
                <c:ptCount val="0"/>
              </c:strCache>
            </c:strRef>
          </c:cat>
          <c:val>
            <c:numRef>
              <c:f>'冷启动'!$D$4:$D$8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操作前后内存变化</a:t>
            </a:r>
          </a:p>
        </c:rich>
      </c:tx>
    </c:title>
    <c:plotArea>
      <c:lineChart>
        <c:grouping val="standard"/>
        <c:ser>
          <c:idx val="0"/>
          <c:order val="0"/>
          <c:tx>
            <c:v>TOTAL PSS(KB)</c:v>
          </c:tx>
          <c:marker>
            <c:symbol val="none"/>
          </c:marker>
          <c:cat>
            <c:strRef>
              <c:f>'内存'!$A$4:$A$6</c:f>
              <c:strCache>
                <c:ptCount val="0"/>
              </c:strCache>
            </c:strRef>
          </c:cat>
          <c:val>
            <c:numRef>
              <c:f>'内存'!$B$4:$B$6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TOTAL RSS(KB)</c:v>
          </c:tx>
          <c:marker>
            <c:symbol val="none"/>
          </c:marker>
          <c:cat>
            <c:strRef>
              <c:f>'内存'!$A$4:$A$6</c:f>
              <c:strCache>
                <c:ptCount val="0"/>
              </c:strCache>
            </c:strRef>
          </c:cat>
          <c:val>
            <c:numRef>
              <c:f>'内存'!$C$4:$C$6</c:f>
              <c:numCache>
                <c:formatCode>General</c:formatCode>
                <c:ptCount val="0"/>
              </c:numCache>
            </c:numRef>
          </c:val>
        </c:ser>
        <c:ser>
          <c:idx val="2"/>
          <c:order val="2"/>
          <c:tx>
            <c:v>Java Heap PSS(KB)</c:v>
          </c:tx>
          <c:marker>
            <c:symbol val="none"/>
          </c:marker>
          <c:cat>
            <c:strRef>
              <c:f>'内存'!$A$4:$A$6</c:f>
              <c:strCache>
                <c:ptCount val="0"/>
              </c:strCache>
            </c:strRef>
          </c:cat>
          <c:val>
            <c:numRef>
              <c:f>'内存'!$D$4:$D$6</c:f>
              <c:numCache>
                <c:formatCode>General</c:formatCode>
                <c:ptCount val="0"/>
              </c:numCache>
            </c:numRef>
          </c:val>
        </c:ser>
        <c:ser>
          <c:idx val="3"/>
          <c:order val="3"/>
          <c:tx>
            <c:v>Native Heap PSS(KB)</c:v>
          </c:tx>
          <c:marker>
            <c:symbol val="none"/>
          </c:marker>
          <c:cat>
            <c:strRef>
              <c:f>'内存'!$A$4:$A$6</c:f>
              <c:strCache>
                <c:ptCount val="0"/>
              </c:strCache>
            </c:strRef>
          </c:cat>
          <c:val>
            <c:numRef>
              <c:f>'内存'!$E$4:$E$6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15 次 CPU 连续采样</a:t>
            </a:r>
          </a:p>
        </c:rich>
      </c:tx>
    </c:title>
    <c:plotArea>
      <c:lineChart>
        <c:grouping val="standard"/>
        <c:ser>
          <c:idx val="0"/>
          <c:order val="0"/>
          <c:tx>
            <c:v>CPU(%)</c:v>
          </c:tx>
          <c:marker>
            <c:symbol val="none"/>
          </c:marker>
          <c:cat>
            <c:strRef>
              <c:f>'CPU与稳定性'!$A$4:$A$18</c:f>
              <c:strCache>
                <c:ptCount val="0"/>
              </c:strCache>
            </c:strRef>
          </c:cat>
          <c:val>
            <c:numRef>
              <c:f>'CPU与稳定性'!$B$4:$B$18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2</xdr:row>
      <xdr:rowOff>0</xdr:rowOff>
    </xdr:from>
    <xdr:to>
      <xdr:col>13</xdr:col>
      <xdr:colOff>0</xdr:colOff>
      <xdr:row>17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e6e1f7902b54e4a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9</xdr:col>
      <xdr:colOff>0</xdr:colOff>
      <xdr:row>2</xdr:row>
      <xdr:rowOff>0</xdr:rowOff>
    </xdr:from>
    <xdr:to>
      <xdr:col>17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ed51d059b38475a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>
  <xdr:twoCellAnchor>
    <xdr:from>
      <xdr:col>6</xdr:col>
      <xdr:colOff>0</xdr:colOff>
      <xdr:row>2</xdr:row>
      <xdr:rowOff>0</xdr:rowOff>
    </xdr:from>
    <xdr:to>
      <xdr:col>14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fab706931a648f9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bee1d29bbc39462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2.xml" Id="R4e21cfe81466465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3.xml" Id="R41bd4e1ab30d48c5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42" hidden="0" customWidth="1"/>
    <x:col min="3" max="3" width="12" hidden="0" customWidth="1"/>
    <x:col min="4" max="4" width="58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</x:cols>
  <x:sheetData>
    <x:row r="1" ht="30" customHeight="1">
      <x:c r="A1" s="5" t="str">
        <x:v>Fossify Notes 基础性能与稳定性测试</x:v>
      </x:c>
      <x:c r="B1" s="5"/>
      <x:c r="C1" s="5"/>
      <x:c r="D1" s="5"/>
      <x:c r="E1" s="5"/>
      <x:c r="F1" s="5"/>
      <x:c r="G1" s="5"/>
      <x:c r="H1" s="5"/>
    </x:row>
    <x:row r="3">
      <x:c r="A3" s="14" t="str">
        <x:v>项目</x:v>
      </x:c>
      <x:c r="B3" s="15" t="str">
        <x:v>信息</x:v>
      </x:c>
    </x:row>
    <x:row r="4">
      <x:c r="A4" s="16" t="str">
        <x:v>测试对象</x:v>
      </x:c>
      <x:c r="B4" s="17" t="str">
        <x:v>Fossify Notes 1.7.0（versionCode=13）</x:v>
      </x:c>
    </x:row>
    <x:row r="5">
      <x:c r="A5" s="16" t="str">
        <x:v>测试平台</x:v>
      </x:c>
      <x:c r="B5" s="17" t="str">
        <x:v>Android Emulator</x:v>
      </x:c>
    </x:row>
    <x:row r="6">
      <x:c r="A6" s="16" t="str">
        <x:v>模拟设备</x:v>
      </x:c>
      <x:c r="B6" s="17" t="str">
        <x:v>sdk_gphone64_arm64</x:v>
      </x:c>
    </x:row>
    <x:row r="7">
      <x:c r="A7" s="16" t="str">
        <x:v>Android / API</x:v>
      </x:c>
      <x:c r="B7" s="17" t="str">
        <x:v>Android 16 / API 36</x:v>
      </x:c>
    </x:row>
    <x:row r="8">
      <x:c r="A8" s="16" t="str">
        <x:v>测试类型</x:v>
      </x:c>
      <x:c r="B8" s="17" t="str">
        <x:v>冷启动、内存、CPU、Monkey 稳定性</x:v>
      </x:c>
    </x:row>
    <x:row r="9">
      <x:c r="A9" s="18" t="str">
        <x:v>Bug 情况</x:v>
      </x:c>
      <x:c r="B9" s="19" t="str">
        <x:v>本轮未发现功能性 Bug、Crash 或 ANR</x:v>
      </x:c>
    </x:row>
    <x:row r="11">
      <x:c r="A11" s="34" t="str">
        <x:v>测试项</x:v>
      </x:c>
      <x:c r="B11" s="35" t="str">
        <x:v>关键数据</x:v>
      </x:c>
      <x:c r="C11" s="35" t="str">
        <x:v>结果</x:v>
      </x:c>
      <x:c r="D11" s="36" t="str">
        <x:v>结论</x:v>
      </x:c>
    </x:row>
    <x:row r="12" ht="52" customHeight="1">
      <x:c r="A12" s="43" t="str">
        <x:v>冷启动</x:v>
      </x:c>
      <x:c r="B12" s="44" t="str">
        <x:v>5 次；TotalTime 310–612 ms；平均 455.6 ms</x:v>
      </x:c>
      <x:c r="C12" s="44" t="str">
        <x:v>PASS</x:v>
      </x:c>
      <x:c r="D12" s="45" t="str">
        <x:v>5 次均为 COLD 启动并成功进入 MainActivity；仅描述实测耗时，不与未定义 SLA 比较。</x:v>
      </x:c>
    </x:row>
    <x:row r="13" ht="52" customHeight="1">
      <x:c r="A13" s="43" t="str">
        <x:v>内存</x:v>
      </x:c>
      <x:c r="B13" s="44" t="str">
        <x:v>TOTAL PSS：29,140 KB → 67,468 KB → 37,328 KB</x:v>
      </x:c>
      <x:c r="C13" s="44" t="str">
        <x:v>PASS</x:v>
      </x:c>
      <x:c r="D13" s="45" t="str">
        <x:v>连续操作后内存上升，退出额外页面并空闲后明显回落；未观察到持续性增长，暂未发现明显内存泄漏迹象。</x:v>
      </x:c>
    </x:row>
    <x:row r="14" ht="52" customHeight="1">
      <x:c r="A14" s="43" t="str">
        <x:v>CPU</x:v>
      </x:c>
      <x:c r="B14" s="44" t="str">
        <x:v>15 次连续采样；空闲 0%；峰值 68%；平均约 31.1%</x:v>
      </x:c>
      <x:c r="C14" s="44" t="str">
        <x:v>PASS</x:v>
      </x:c>
      <x:c r="D14" s="45" t="str">
        <x:v>操作阶段 CPU 随负载上升，应用保持响应，未出现 ANR/Crash。</x:v>
      </x:c>
    </x:row>
    <x:row r="15" ht="52" customHeight="1">
      <x:c r="A15" s="46" t="str">
        <x:v>Monkey 稳定性</x:v>
      </x:c>
      <x:c r="B15" s="47" t="str">
        <x:v>500 events；throttle 100 ms；应用测试后可正常使用</x:v>
      </x:c>
      <x:c r="C15" s="47" t="str">
        <x:v>PASS</x:v>
      </x:c>
      <x:c r="D15" s="48" t="str">
        <x:v>Monkey 正常结束，无 Crash/ANR/FATAL；3 个 flip 事件因模拟器输入权限限制被丢弃，不判定为 App 缺陷。</x:v>
      </x:c>
    </x:row>
    <x:row r="17">
      <x:c r="A17" s="58" t="str">
        <x:v>总体结论：在本次 Android Emulator 环境与既定测试负载下，Fossify Notes 冷启动、连续操作、内存恢复及随机事件稳定性表现稳定。测试过程中未观察到 Crash、ANR 或明显持续性内存增长。该结论仅适用于本次模拟器与测试条件，不代表真实设备、多品牌机型或生产环境的完整性能结论。</x:v>
      </x:c>
      <x:c r="B17" s="58"/>
      <x:c r="C17" s="58"/>
      <x:c r="D17" s="58"/>
      <x:c r="E17" s="58"/>
      <x:c r="F17" s="58"/>
      <x:c r="G17" s="58"/>
      <x:c r="H17" s="58"/>
    </x:row>
    <x:row r="18">
      <x:c r="A18" s="58"/>
      <x:c r="B18" s="58"/>
      <x:c r="C18" s="58"/>
      <x:c r="D18" s="58"/>
      <x:c r="E18" s="58"/>
      <x:c r="F18" s="58"/>
      <x:c r="G18" s="58"/>
      <x:c r="H18" s="58"/>
    </x:row>
  </x:sheetData>
  <x:mergeCells>
    <x:mergeCell ref="A1:H1"/>
    <x:mergeCell ref="A17:H18"/>
  </x:mergeCells>
  <x:conditionalFormatting sqref="C12:C15">
    <x:cfRule type="expression" dxfId="0" priority="1">
      <x:formula>C12="PASS"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6" hidden="0" customWidth="1"/>
    <x:col min="3" max="3" width="18" hidden="0" customWidth="1"/>
    <x:col min="4" max="4" width="18" hidden="0" customWidth="1"/>
    <x:col min="5" max="5" width="12" hidden="0" customWidth="1"/>
    <x:col min="6" max="6" width="12" hidden="0" customWidth="1"/>
  </x:cols>
  <x:sheetData>
    <x:row r="1">
      <x:c r="A1" s="64" t="str">
        <x:v>冷启动时间测试</x:v>
      </x:c>
      <x:c r="B1" s="64"/>
      <x:c r="C1" s="64"/>
      <x:c r="D1" s="64"/>
      <x:c r="E1" s="64"/>
      <x:c r="F1" s="64"/>
    </x:row>
    <x:row r="3">
      <x:c r="A3" s="67" t="str">
        <x:v>次数</x:v>
      </x:c>
      <x:c r="B3" s="68" t="str">
        <x:v>LaunchState</x:v>
      </x:c>
      <x:c r="C3" s="68" t="str">
        <x:v>TotalTime(ms)</x:v>
      </x:c>
      <x:c r="D3" s="69" t="str">
        <x:v>WaitTime(ms)</x:v>
      </x:c>
    </x:row>
    <x:row r="4">
      <x:c r="A4" s="16" t="n">
        <x:v>1</x:v>
      </x:c>
      <x:c r="B4" s="37" t="str">
        <x:v>COLD</x:v>
      </x:c>
      <x:c r="C4" s="37" t="n">
        <x:v>612</x:v>
      </x:c>
      <x:c r="D4" s="17" t="n">
        <x:v>614</x:v>
      </x:c>
    </x:row>
    <x:row r="5">
      <x:c r="A5" s="16" t="n">
        <x:v>2</x:v>
      </x:c>
      <x:c r="B5" s="37" t="str">
        <x:v>COLD</x:v>
      </x:c>
      <x:c r="C5" s="37" t="n">
        <x:v>431</x:v>
      </x:c>
      <x:c r="D5" s="17" t="n">
        <x:v>435</x:v>
      </x:c>
    </x:row>
    <x:row r="6">
      <x:c r="A6" s="16" t="n">
        <x:v>3</x:v>
      </x:c>
      <x:c r="B6" s="37" t="str">
        <x:v>COLD</x:v>
      </x:c>
      <x:c r="C6" s="37" t="n">
        <x:v>511</x:v>
      </x:c>
      <x:c r="D6" s="17" t="n">
        <x:v>513</x:v>
      </x:c>
    </x:row>
    <x:row r="7">
      <x:c r="A7" s="16" t="n">
        <x:v>4</x:v>
      </x:c>
      <x:c r="B7" s="37" t="str">
        <x:v>COLD</x:v>
      </x:c>
      <x:c r="C7" s="37" t="n">
        <x:v>414</x:v>
      </x:c>
      <x:c r="D7" s="17" t="n">
        <x:v>416</x:v>
      </x:c>
    </x:row>
    <x:row r="8">
      <x:c r="A8" s="16" t="n">
        <x:v>5</x:v>
      </x:c>
      <x:c r="B8" s="37" t="str">
        <x:v>COLD</x:v>
      </x:c>
      <x:c r="C8" s="37" t="n">
        <x:v>310</x:v>
      </x:c>
      <x:c r="D8" s="17" t="n">
        <x:v>312</x:v>
      </x:c>
    </x:row>
    <x:row r="9">
      <x:c r="A9" s="16"/>
      <x:c r="B9" s="37"/>
      <x:c r="C9" s="37"/>
      <x:c r="D9" s="17"/>
    </x:row>
    <x:row r="10">
      <x:c r="A10" s="70" t="str">
        <x:v>指标</x:v>
      </x:c>
      <x:c r="B10" s="28" t="str">
        <x:v>TotalTime(ms)</x:v>
      </x:c>
      <x:c r="C10" s="28" t="str">
        <x:v>WaitTime(ms)</x:v>
      </x:c>
      <x:c r="D10" s="71" t="str">
        <x:v>说明</x:v>
      </x:c>
    </x:row>
    <x:row r="11">
      <x:c r="A11" s="16" t="str">
        <x:v>平均值</x:v>
      </x:c>
      <x:c r="B11" s="77" t="n">
        <x:f>AVERAGE(C4:C8)</x:f>
        <x:v>455.6</x:v>
      </x:c>
      <x:c r="C11" s="77" t="n">
        <x:f>AVERAGE(D4:D8)</x:f>
        <x:v>458</x:v>
      </x:c>
      <x:c r="D11" s="17" t="str">
        <x:v>5 次冷启动平均耗时</x:v>
      </x:c>
    </x:row>
    <x:row r="12">
      <x:c r="A12" s="16" t="str">
        <x:v>最小值</x:v>
      </x:c>
      <x:c r="B12" s="77" t="n">
        <x:f>MIN(C4:C8)</x:f>
        <x:v>310</x:v>
      </x:c>
      <x:c r="C12" s="77" t="n">
        <x:f>MIN(D4:D8)</x:f>
        <x:v>312</x:v>
      </x:c>
      <x:c r="D12" s="17" t="str">
        <x:v>本轮最快冷启动</x:v>
      </x:c>
    </x:row>
    <x:row r="13">
      <x:c r="A13" s="18" t="str">
        <x:v>最大值</x:v>
      </x:c>
      <x:c r="B13" s="78" t="n">
        <x:f>MAX(C4:C8)</x:f>
        <x:v>612</x:v>
      </x:c>
      <x:c r="C13" s="78" t="n">
        <x:f>MAX(D4:D8)</x:f>
        <x:v>614</x:v>
      </x:c>
      <x:c r="D13" s="19" t="str">
        <x:v>本轮最慢冷启动</x:v>
      </x:c>
    </x:row>
  </x:sheetData>
  <x:mergeCells>
    <x:mergeCell ref="A1:F1"/>
  </x:mergeCells>
  <x:pageMargins left="0.7" right="0.7" top="0.75" bottom="0.75" header="0.3" footer="0.3"/>
  <x:drawing xmlns:r="http://schemas.openxmlformats.org/officeDocument/2006/relationships" r:id="Rbee1d29bbc394620"/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4" hidden="0" customWidth="1"/>
    <x:col min="7" max="7" width="14" hidden="0" customWidth="1"/>
    <x:col min="8" max="8" width="16" hidden="0" customWidth="1"/>
    <x:col min="9" max="9" width="10" hidden="0" customWidth="1"/>
  </x:cols>
  <x:sheetData>
    <x:row r="1">
      <x:c r="A1" s="64" t="str">
        <x:v>内存占用与恢复测试</x:v>
      </x:c>
      <x:c r="B1" s="64"/>
      <x:c r="C1" s="64"/>
      <x:c r="D1" s="64"/>
      <x:c r="E1" s="64"/>
      <x:c r="F1" s="64"/>
      <x:c r="G1" s="64"/>
      <x:c r="H1" s="64"/>
      <x:c r="I1" s="64"/>
    </x:row>
    <x:row r="3">
      <x:c r="A3" s="85" t="str">
        <x:v>阶段</x:v>
      </x:c>
      <x:c r="B3" s="86" t="str">
        <x:v>TOTAL PSS(KB)</x:v>
      </x:c>
      <x:c r="C3" s="86" t="str">
        <x:v>TOTAL RSS(KB)</x:v>
      </x:c>
      <x:c r="D3" s="86" t="str">
        <x:v>Java Heap PSS(KB)</x:v>
      </x:c>
      <x:c r="E3" s="86" t="str">
        <x:v>Native Heap PSS(KB)</x:v>
      </x:c>
      <x:c r="F3" s="86" t="str">
        <x:v>Activities</x:v>
      </x:c>
      <x:c r="G3" s="86" t="str">
        <x:v>AppContexts</x:v>
      </x:c>
      <x:c r="H3" s="87" t="str">
        <x:v>Swap PSS(KB)</x:v>
      </x:c>
    </x:row>
    <x:row r="4">
      <x:c r="A4" s="43" t="str">
        <x:v>操作前基线</x:v>
      </x:c>
      <x:c r="B4" s="44" t="n">
        <x:v>29140</x:v>
      </x:c>
      <x:c r="C4" s="44" t="n">
        <x:v>135048</x:v>
      </x:c>
      <x:c r="D4" s="44" t="n">
        <x:v>3444</x:v>
      </x:c>
      <x:c r="E4" s="44" t="n">
        <x:v>11308</x:v>
      </x:c>
      <x:c r="F4" s="44" t="n">
        <x:v>1</x:v>
      </x:c>
      <x:c r="G4" s="44" t="n">
        <x:v>5</x:v>
      </x:c>
      <x:c r="H4" s="45" t="n">
        <x:v>295</x:v>
      </x:c>
    </x:row>
    <x:row r="5">
      <x:c r="A5" s="43" t="str">
        <x:v>连续操作后</x:v>
      </x:c>
      <x:c r="B5" s="44" t="n">
        <x:v>67468</x:v>
      </x:c>
      <x:c r="C5" s="44" t="n">
        <x:v>181388</x:v>
      </x:c>
      <x:c r="D5" s="44" t="n">
        <x:v>8144</x:v>
      </x:c>
      <x:c r="E5" s="44" t="n">
        <x:v>35236</x:v>
      </x:c>
      <x:c r="F5" s="44" t="n">
        <x:v>3</x:v>
      </x:c>
      <x:c r="G5" s="44" t="n">
        <x:v>11</x:v>
      </x:c>
      <x:c r="H5" s="45" t="n">
        <x:v>177</x:v>
      </x:c>
    </x:row>
    <x:row r="6">
      <x:c r="A6" s="46" t="str">
        <x:v>返回主页面并空闲后</x:v>
      </x:c>
      <x:c r="B6" s="47" t="n">
        <x:v>37328</x:v>
      </x:c>
      <x:c r="C6" s="47" t="n">
        <x:v>146256</x:v>
      </x:c>
      <x:c r="D6" s="47" t="n">
        <x:v>5088</x:v>
      </x:c>
      <x:c r="E6" s="47" t="n">
        <x:v>15224</x:v>
      </x:c>
      <x:c r="F6" s="47" t="n">
        <x:v>1</x:v>
      </x:c>
      <x:c r="G6" s="47" t="n">
        <x:v>5</x:v>
      </x:c>
      <x:c r="H6" s="48" t="n">
        <x:v>295</x:v>
      </x:c>
    </x:row>
    <x:row r="7">
      <x:c r="A7" s="44"/>
      <x:c r="B7" s="44"/>
      <x:c r="C7" s="44"/>
      <x:c r="D7" s="44"/>
      <x:c r="E7" s="44"/>
      <x:c r="F7" s="44"/>
      <x:c r="G7" s="44"/>
      <x:c r="H7" s="44"/>
    </x:row>
    <x:row r="8">
      <x:c r="A8" s="85" t="str">
        <x:v>观察项</x:v>
      </x:c>
      <x:c r="B8" s="86" t="str">
        <x:v>数值</x:v>
      </x:c>
      <x:c r="C8" s="86" t="str">
        <x:v>结果</x:v>
      </x:c>
      <x:c r="D8" s="87" t="str">
        <x:v>说明</x:v>
      </x:c>
      <x:c r="E8" s="44"/>
      <x:c r="F8" s="44"/>
      <x:c r="G8" s="44"/>
      <x:c r="H8" s="44"/>
    </x:row>
    <x:row r="9">
      <x:c r="A9" s="43" t="str">
        <x:v>PSS 峰值增加量</x:v>
      </x:c>
      <x:c r="B9" s="44" t="n">
        <x:v>38328</x:v>
      </x:c>
      <x:c r="C9" s="44" t="str">
        <x:v>观察到增长</x:v>
      </x:c>
      <x:c r="D9" s="45" t="str">
        <x:v>连续操作后 TOTAL PSS 相比基线增加 38,328 KB。</x:v>
      </x:c>
      <x:c r="E9" s="44"/>
      <x:c r="F9" s="44"/>
      <x:c r="G9" s="44"/>
      <x:c r="H9" s="44"/>
    </x:row>
    <x:row r="10">
      <x:c r="A10" s="43" t="str">
        <x:v>PSS 峰值后回落量</x:v>
      </x:c>
      <x:c r="B10" s="44" t="n">
        <x:v>30140</x:v>
      </x:c>
      <x:c r="C10" s="44" t="str">
        <x:v>明显回落</x:v>
      </x:c>
      <x:c r="D10" s="45" t="str">
        <x:v>返回主页面并空闲后较峰值回落 30,140 KB。</x:v>
      </x:c>
      <x:c r="E10" s="44"/>
      <x:c r="F10" s="44"/>
      <x:c r="G10" s="44"/>
      <x:c r="H10" s="44"/>
    </x:row>
    <x:row r="11">
      <x:c r="A11" s="43" t="str">
        <x:v>Native Heap 恢复</x:v>
      </x:c>
      <x:c r="B11" s="44" t="str">
        <x:v>35,236 → 15,224 KB</x:v>
      </x:c>
      <x:c r="C11" s="44" t="str">
        <x:v>明显回落</x:v>
      </x:c>
      <x:c r="D11" s="45" t="str">
        <x:v>Native Heap 在操作负载结束后明显回收。</x:v>
      </x:c>
      <x:c r="E11" s="44"/>
      <x:c r="F11" s="44"/>
      <x:c r="G11" s="44"/>
      <x:c r="H11" s="44"/>
    </x:row>
    <x:row r="12">
      <x:c r="A12" s="46" t="str">
        <x:v>对象状态恢复</x:v>
      </x:c>
      <x:c r="B12" s="47" t="str">
        <x:v>Activities 3→1；AppContexts 11→5</x:v>
      </x:c>
      <x:c r="C12" s="47" t="str">
        <x:v>恢复</x:v>
      </x:c>
      <x:c r="D12" s="48" t="str">
        <x:v>页面退出后 Activity/AppContext 数量回到初始水平。</x:v>
      </x:c>
      <x:c r="E12" s="44"/>
      <x:c r="F12" s="44"/>
      <x:c r="G12" s="44"/>
      <x:c r="H12" s="44"/>
    </x:row>
  </x:sheetData>
  <x:mergeCells>
    <x:mergeCell ref="A1:I1"/>
  </x:mergeCells>
  <x:pageMargins left="0.7" right="0.7" top="0.75" bottom="0.75" header="0.3" footer="0.3"/>
  <x:drawing xmlns:r="http://schemas.openxmlformats.org/officeDocument/2006/relationships" r:id="R4e21cfe814664655"/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4" hidden="0" customWidth="1"/>
    <x:col min="4" max="4" width="22" hidden="0" customWidth="1"/>
    <x:col min="5" max="5" width="60" hidden="0" customWidth="1"/>
    <x:col min="6" max="6" width="12" hidden="0" customWidth="1"/>
    <x:col min="7" max="7" width="12" hidden="0" customWidth="1"/>
    <x:col min="8" max="8" width="12" hidden="0" customWidth="1"/>
  </x:cols>
  <x:sheetData>
    <x:row r="1">
      <x:c r="A1" s="64" t="str">
        <x:v>CPU 连续采样与 Monkey 稳定性测试</x:v>
      </x:c>
      <x:c r="B1" s="64"/>
      <x:c r="C1" s="64"/>
      <x:c r="D1" s="64"/>
      <x:c r="E1" s="64"/>
      <x:c r="F1" s="64"/>
      <x:c r="G1" s="64"/>
      <x:c r="H1" s="64"/>
    </x:row>
    <x:row r="3">
      <x:c r="A3" s="85" t="str">
        <x:v>采样点</x:v>
      </x:c>
      <x:c r="B3" s="87" t="str">
        <x:v>CPU(%)</x:v>
      </x:c>
      <x:c r="D3" s="85" t="str">
        <x:v>指标</x:v>
      </x:c>
      <x:c r="E3" s="87" t="str">
        <x:v>结果</x:v>
      </x:c>
    </x:row>
    <x:row r="4">
      <x:c r="A4" s="16" t="n">
        <x:v>1</x:v>
      </x:c>
      <x:c r="B4" s="17" t="n">
        <x:v>0</x:v>
      </x:c>
      <x:c r="D4" s="16" t="str">
        <x:v>平均 CPU</x:v>
      </x:c>
      <x:c r="E4" s="91" t="n">
        <x:f>AVERAGE(B4:B18)</x:f>
        <x:v>31.113333333333333</x:v>
      </x:c>
    </x:row>
    <x:row r="5">
      <x:c r="A5" s="16" t="n">
        <x:v>2</x:v>
      </x:c>
      <x:c r="B5" s="17" t="n">
        <x:v>0</x:v>
      </x:c>
      <x:c r="D5" s="16" t="str">
        <x:v>最低 CPU</x:v>
      </x:c>
      <x:c r="E5" s="91" t="n">
        <x:f>MIN(B4:B18)</x:f>
        <x:v>0</x:v>
      </x:c>
    </x:row>
    <x:row r="6">
      <x:c r="A6" s="16" t="n">
        <x:v>3</x:v>
      </x:c>
      <x:c r="B6" s="17" t="n">
        <x:v>0</x:v>
      </x:c>
      <x:c r="D6" s="16" t="str">
        <x:v>峰值 CPU</x:v>
      </x:c>
      <x:c r="E6" s="91" t="n">
        <x:f>MAX(B4:B18)</x:f>
        <x:v>68</x:v>
      </x:c>
    </x:row>
    <x:row r="7">
      <x:c r="A7" s="16" t="n">
        <x:v>4</x:v>
      </x:c>
      <x:c r="B7" s="17" t="n">
        <x:v>15</x:v>
      </x:c>
      <x:c r="D7" s="16"/>
      <x:c r="E7" s="17"/>
    </x:row>
    <x:row r="8">
      <x:c r="A8" s="16" t="n">
        <x:v>5</x:v>
      </x:c>
      <x:c r="B8" s="17" t="n">
        <x:v>16</x:v>
      </x:c>
      <x:c r="D8" s="92" t="str">
        <x:v>Monkey 项目</x:v>
      </x:c>
      <x:c r="E8" s="93" t="str">
        <x:v>实际结果</x:v>
      </x:c>
    </x:row>
    <x:row r="9" ht="42" customHeight="1">
      <x:c r="A9" s="16" t="n">
        <x:v>6</x:v>
      </x:c>
      <x:c r="B9" s="17" t="n">
        <x:v>16</x:v>
      </x:c>
      <x:c r="D9" s="43" t="str">
        <x:v>事件数量</x:v>
      </x:c>
      <x:c r="E9" s="45" t="str">
        <x:v>Events injected: 500</x:v>
      </x:c>
    </x:row>
    <x:row r="10" ht="42" customHeight="1">
      <x:c r="A10" s="16" t="n">
        <x:v>7</x:v>
      </x:c>
      <x:c r="B10" s="17" t="n">
        <x:v>62</x:v>
      </x:c>
      <x:c r="D10" s="43" t="str">
        <x:v>事件间隔</x:v>
      </x:c>
      <x:c r="E10" s="45" t="str">
        <x:v>--throttle 100 ms</x:v>
      </x:c>
    </x:row>
    <x:row r="11" ht="42" customHeight="1">
      <x:c r="A11" s="16" t="n">
        <x:v>8</x:v>
      </x:c>
      <x:c r="B11" s="17" t="n">
        <x:v>59</x:v>
      </x:c>
      <x:c r="D11" s="43" t="str">
        <x:v>系统键比例</x:v>
      </x:c>
      <x:c r="E11" s="45" t="str">
        <x:v>--pct-syskeys 0</x:v>
      </x:c>
    </x:row>
    <x:row r="12" ht="42" customHeight="1">
      <x:c r="A12" s="16" t="n">
        <x:v>9</x:v>
      </x:c>
      <x:c r="B12" s="17" t="n">
        <x:v>28.7</x:v>
      </x:c>
      <x:c r="D12" s="43" t="str">
        <x:v>Monkey 结束状态</x:v>
      </x:c>
      <x:c r="E12" s="45" t="str">
        <x:v>Monkey finished</x:v>
      </x:c>
    </x:row>
    <x:row r="13" ht="42" customHeight="1">
      <x:c r="A13" s="16" t="n">
        <x:v>10</x:v>
      </x:c>
      <x:c r="B13" s="17" t="n">
        <x:v>23</x:v>
      </x:c>
      <x:c r="D13" s="43" t="str">
        <x:v>丢弃事件</x:v>
      </x:c>
      <x:c r="E13" s="45" t="str">
        <x:v>flips=3</x:v>
      </x:c>
    </x:row>
    <x:row r="14" ht="42" customHeight="1">
      <x:c r="A14" s="16" t="n">
        <x:v>11</x:v>
      </x:c>
      <x:c r="B14" s="17" t="n">
        <x:v>68</x:v>
      </x:c>
      <x:c r="D14" s="43" t="str">
        <x:v>丢弃原因</x:v>
      </x:c>
      <x:c r="E14" s="45" t="str">
        <x:v>/dev/input/event0: EACCES (Permission denied)，属于模拟器输入设备权限限制</x:v>
      </x:c>
    </x:row>
    <x:row r="15" ht="42" customHeight="1">
      <x:c r="A15" s="16" t="n">
        <x:v>12</x:v>
      </x:c>
      <x:c r="B15" s="17" t="n">
        <x:v>40</x:v>
      </x:c>
      <x:c r="D15" s="46" t="str">
        <x:v>测试后检查</x:v>
      </x:c>
      <x:c r="E15" s="98" t="str">
        <x:v>App 可正常打开和操作；原有 Note/Checklist 数据仍存在；未发现 Crash、ANR 或业务异常</x:v>
      </x:c>
    </x:row>
    <x:row r="16">
      <x:c r="A16" s="16" t="n">
        <x:v>13</x:v>
      </x:c>
      <x:c r="B16" s="17" t="n">
        <x:v>61</x:v>
      </x:c>
    </x:row>
    <x:row r="17">
      <x:c r="A17" s="16" t="n">
        <x:v>14</x:v>
      </x:c>
      <x:c r="B17" s="17" t="n">
        <x:v>11</x:v>
      </x:c>
    </x:row>
    <x:row r="18">
      <x:c r="A18" s="18" t="n">
        <x:v>15</x:v>
      </x:c>
      <x:c r="B18" s="19" t="n">
        <x:v>67</x:v>
      </x:c>
    </x:row>
  </x:sheetData>
  <x:mergeCells>
    <x:mergeCell ref="A1:H1"/>
  </x:mergeCells>
  <x:pageMargins left="0.7" right="0.7" top="0.75" bottom="0.75" header="0.3" footer="0.3"/>
  <x:drawing xmlns:r="http://schemas.openxmlformats.org/officeDocument/2006/relationships" r:id="R41bd4e1ab30d48c5"/>
</x:worksheet>
</file>